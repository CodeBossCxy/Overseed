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filterPrivacy="1"/>
  <xr:revisionPtr revIDLastSave="0" documentId="13_ncr:1_{6119F517-26DA-3B47-8DD6-57503E138D7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Infra Co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2" i="1"/>
  <c r="F32" i="1" s="1"/>
  <c r="E31" i="1"/>
  <c r="F31" i="1" s="1"/>
  <c r="E30" i="1"/>
  <c r="F30" i="1" s="1"/>
  <c r="E29" i="1"/>
  <c r="F29" i="1" s="1"/>
  <c r="E28" i="1"/>
  <c r="F28" i="1" s="1"/>
  <c r="E24" i="1"/>
  <c r="F24" i="1" s="1"/>
  <c r="E23" i="1"/>
  <c r="E22" i="1"/>
  <c r="F22" i="1" s="1"/>
  <c r="E21" i="1"/>
  <c r="F21" i="1" s="1"/>
  <c r="E20" i="1"/>
  <c r="F20" i="1" s="1"/>
  <c r="E19" i="1"/>
  <c r="F19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44" i="1" l="1"/>
  <c r="F33" i="1"/>
  <c r="E16" i="1"/>
  <c r="E25" i="1"/>
  <c r="E33" i="1"/>
  <c r="E53" i="1"/>
  <c r="G53" i="1" s="1"/>
  <c r="E54" i="1"/>
  <c r="G54" i="1" s="1"/>
  <c r="F5" i="1"/>
  <c r="E44" i="1"/>
  <c r="E55" i="1"/>
  <c r="G55" i="1" s="1"/>
  <c r="F23" i="1"/>
  <c r="F25" i="1" s="1"/>
  <c r="F55" i="1" l="1"/>
  <c r="F16" i="1"/>
  <c r="F54" i="1"/>
  <c r="F53" i="1"/>
  <c r="F56" i="1" l="1"/>
  <c r="F57" i="1" s="1"/>
</calcChain>
</file>

<file path=xl/sharedStrings.xml><?xml version="1.0" encoding="utf-8"?>
<sst xmlns="http://schemas.openxmlformats.org/spreadsheetml/2006/main" count="168" uniqueCount="136">
  <si>
    <t>Overseed — Infrastructure Survival Budget</t>
  </si>
  <si>
    <t>Fill in yellow cells. Monthly = units × unit price; Annualized = monthly × 12 (for annual flat fees, enter 1/12 of the fee as the unit price). Essential? grades: Yes = bare-minimum survival · Conditional / Recommended = operating baseline · Optional / Experimental = growth-ready only.</t>
  </si>
  <si>
    <t>Infrastructure</t>
  </si>
  <si>
    <t>Cost driver / billing basis</t>
  </si>
  <si>
    <t>Units / month</t>
  </si>
  <si>
    <t>Unit price (USD)</t>
  </si>
  <si>
    <t>Monthly forecast</t>
  </si>
  <si>
    <t>Annualized forecast</t>
  </si>
  <si>
    <t>Essential?</t>
  </si>
  <si>
    <t>Notes / pricing source</t>
  </si>
  <si>
    <t>1. Core production infrastructure</t>
  </si>
  <si>
    <t>Start here when calculating the minimum amount required to keep the product operational.</t>
  </si>
  <si>
    <t>Vercel (app hosting)</t>
  </si>
  <si>
    <t>Hosting tier, bandwidth, function execution, and team seats</t>
  </si>
  <si>
    <t>Yes</t>
  </si>
  <si>
    <t>Recommended deployment platform; verify actual production plan.</t>
  </si>
  <si>
    <t>Neon PostgreSQL</t>
  </si>
  <si>
    <t>Compute hours, storage, data transfer, and backup tier</t>
  </si>
  <si>
    <t>Current hosted PostgreSQL setup (via Prisma).</t>
  </si>
  <si>
    <t>Prisma</t>
  </si>
  <si>
    <t>ORM is open source; include paid platform costs only if adopted</t>
  </si>
  <si>
    <t>Schema, migrations, client generation, and database access.</t>
  </si>
  <si>
    <t>AWS S3</t>
  </si>
  <si>
    <t>GB stored + requests + internet data transfer</t>
  </si>
  <si>
    <t>Object storage for uploads and screenshots; local upload fallback exists.</t>
  </si>
  <si>
    <t>NextAuth.js</t>
  </si>
  <si>
    <t>Open source; budget hosting/database usage rather than a license</t>
  </si>
  <si>
    <t>Session and authentication orchestration.</t>
  </si>
  <si>
    <t>Google OAuth</t>
  </si>
  <si>
    <t>Usually no direct per-login fee; record any related cloud costs</t>
  </si>
  <si>
    <t>Configured sign-in provider.</t>
  </si>
  <si>
    <t>Stripe</t>
  </si>
  <si>
    <t>% + fixed fee per transaction; subscriptions and payment intents</t>
  </si>
  <si>
    <t>Checkout, subscriptions, webhooks, and platform payments.</t>
  </si>
  <si>
    <t>Stripe Connect Express</t>
  </si>
  <si>
    <t>Connected-account and payout/transfer fees</t>
  </si>
  <si>
    <t>Creator onboarding and payout management.</t>
  </si>
  <si>
    <t>Pusher</t>
  </si>
  <si>
    <t>Connections, channels, and messages/events</t>
  </si>
  <si>
    <t>Conditional</t>
  </si>
  <si>
    <t>Real-time messaging; application can fall back to polling.</t>
  </si>
  <si>
    <t>Resend</t>
  </si>
  <si>
    <t>Emails sent and plan allowance</t>
  </si>
  <si>
    <t>OTP and creator-outreach email delivery.</t>
  </si>
  <si>
    <t>SMTP provider</t>
  </si>
  <si>
    <t>Mailbox/relay plan and messages sent</t>
  </si>
  <si>
    <t>Nodemailer-powered contact form; may be consolidated with Resend.</t>
  </si>
  <si>
    <t>Section subtotal</t>
  </si>
  <si>
    <t>2. AI and translation services</t>
  </si>
  <si>
    <t>Use realistic monthly caps. For survival planning, disable or rate-limit providers not required for the core customer journey.</t>
  </si>
  <si>
    <t>OpenAI API</t>
  </si>
  <si>
    <t>Input/output tokens, images generated, and vision usage</t>
  </si>
  <si>
    <t>Assistant chat, translations, images, and screenshot analysis.</t>
  </si>
  <si>
    <t>Anthropic API</t>
  </si>
  <si>
    <t>Input/output tokens and prompt caching</t>
  </si>
  <si>
    <t>Optional</t>
  </si>
  <si>
    <t>Claude assistant models.</t>
  </si>
  <si>
    <t>DeepSeek API</t>
  </si>
  <si>
    <t>Input/output tokens</t>
  </si>
  <si>
    <t>OpenAI-compatible assistant models.</t>
  </si>
  <si>
    <t>Moonshot / Kimi API</t>
  </si>
  <si>
    <t>Kimi assistant models.</t>
  </si>
  <si>
    <t>Google Cloud Translation</t>
  </si>
  <si>
    <t>Characters translated</t>
  </si>
  <si>
    <t>Content translation; application has a dictionary fallback.</t>
  </si>
  <si>
    <t>Google Gemini / Veo</t>
  </si>
  <si>
    <t>Generated video seconds and resolution</t>
  </si>
  <si>
    <t>Used only by the video-creator test subproject.</t>
  </si>
  <si>
    <t>3. Discovery, social, and optional integrations</t>
  </si>
  <si>
    <t>Keep these outside the bare-minimum budget unless they directly drive acquisition or contracted customer functionality.</t>
  </si>
  <si>
    <t>KOL FastAPI sidecar</t>
  </si>
  <si>
    <t>Hosting compute, memory, requests, logs, and egress</t>
  </si>
  <si>
    <t>External creator-discovery service referenced through KOL_API_URL.</t>
  </si>
  <si>
    <t>Influencers Club API</t>
  </si>
  <si>
    <t>API plan, profiles, enrichment records, or credits</t>
  </si>
  <si>
    <t>Creator discovery and enrichment.</t>
  </si>
  <si>
    <t>YouTube Data API</t>
  </si>
  <si>
    <t>Quota allocation and any associated Google Cloud costs</t>
  </si>
  <si>
    <t>Credential is configured, but no direct usage in this repository.</t>
  </si>
  <si>
    <t>Facebook OAuth</t>
  </si>
  <si>
    <t>Usually no direct fee; include developer/platform overhead</t>
  </si>
  <si>
    <t>Implemented, but local credentials are empty.</t>
  </si>
  <si>
    <t>WeChat Open Platform</t>
  </si>
  <si>
    <t>Registration, verification, or platform service costs</t>
  </si>
  <si>
    <t>Configured but feature-flagged and described as in development.</t>
  </si>
  <si>
    <t>Not all visible in application code, but omitting these can make a survival estimate materially too low.</t>
  </si>
  <si>
    <t>Domain registration</t>
  </si>
  <si>
    <t>Domains × annual renewal price</t>
  </si>
  <si>
    <t>Normally required for production availability.</t>
  </si>
  <si>
    <t>DNS / CDN / edge security</t>
  </si>
  <si>
    <t>Zone, traffic, requests, WAF, and protection tier</t>
  </si>
  <si>
    <t>May be included with Vercel or a separate provider.</t>
  </si>
  <si>
    <t>Monitoring and error tracking</t>
  </si>
  <si>
    <t>Events, errors, traces, logs, and retention</t>
  </si>
  <si>
    <t>Recommended</t>
  </si>
  <si>
    <t>No dedicated provider is present in the repository.</t>
  </si>
  <si>
    <t>Backups and recovery</t>
  </si>
  <si>
    <t>Storage, snapshots, retention, and restore testing</t>
  </si>
  <si>
    <t>Confirm what Neon and S3 plans include before adding a separate line.</t>
  </si>
  <si>
    <t>Source control / CI</t>
  </si>
  <si>
    <t>Seats, build minutes, artifacts, and runners</t>
  </si>
  <si>
    <t>GitHub referenced in deployment instructions; no CI workflow present.</t>
  </si>
  <si>
    <t>Security and secrets management</t>
  </si>
  <si>
    <t>Seats, stored secrets, scans, and audit features</t>
  </si>
  <si>
    <t>Add only if not included in the hosting platform.</t>
  </si>
  <si>
    <t>Support / maintenance reserve</t>
  </si>
  <si>
    <t>Engineering hours or monthly retainer</t>
  </si>
  <si>
    <t>Operational labor is often larger than vendor infrastructure cost.</t>
  </si>
  <si>
    <t>Taxes and foreign-exchange buffer</t>
  </si>
  <si>
    <t>Percentage of vendor spend</t>
  </si>
  <si>
    <t>Use when vendors bill in another currency or exclude applicable taxes.</t>
  </si>
  <si>
    <t>Planning inputs</t>
  </si>
  <si>
    <t>Starting cash available (USD)</t>
  </si>
  <si>
    <t>Contingency rate (10%–20% recommended)</t>
  </si>
  <si>
    <t>One-time setup costs (USD)</t>
  </si>
  <si>
    <t>5. Survival-budget summary</t>
  </si>
  <si>
    <t>Budget layer</t>
  </si>
  <si>
    <t>Included grades</t>
  </si>
  <si>
    <t/>
  </si>
  <si>
    <t>Monthly total</t>
  </si>
  <si>
    <t>Annual total</t>
  </si>
  <si>
    <t>Runway (months)</t>
  </si>
  <si>
    <t>Purpose</t>
  </si>
  <si>
    <t>Bare-minimum survival</t>
  </si>
  <si>
    <t>Only services required to keep the product available and secure.</t>
  </si>
  <si>
    <t>Current operating baseline</t>
  </si>
  <si>
    <t>Yes + Conditional + Recommended</t>
  </si>
  <si>
    <t>Survival layer plus normal production usage.</t>
  </si>
  <si>
    <t>Growth-ready plan</t>
  </si>
  <si>
    <t>All grades</t>
  </si>
  <si>
    <t>Baseline plus optional capacity, discovery, and experimental services.</t>
  </si>
  <si>
    <t>Contingency reserve</t>
  </si>
  <si>
    <t>Contingency rate × baseline annual total</t>
  </si>
  <si>
    <t>TOTAL FUNDING TARGET</t>
  </si>
  <si>
    <t>Baseline annual + contingency + one-time setup costs</t>
  </si>
  <si>
    <t>4. Operating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</si>
</sst>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11"/>
      <color theme="1"/>
      <name val="Calibri"/>
      <family val="2"/>
      <scheme val="minor"/>
    </font>
    <font>
      <b/>
      <sz val="15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i/>
      <sz val="9"/>
      <color rgb="FF555555"/>
      <name val="Calibri"/>
      <family val="2"/>
    </font>
    <font>
      <sz val="9"/>
      <color rgb="FF444444"/>
      <name val="Calibri"/>
      <family val="2"/>
    </font>
    <font>
      <b/>
      <sz val="11"/>
      <color rgb="FFB45309"/>
      <name val="Calibri"/>
      <family val="2"/>
    </font>
    <font>
      <sz val="9"/>
      <color rgb="FF666666"/>
      <name val="Calibri"/>
      <family val="2"/>
    </font>
    <font>
      <sz val="11"/>
      <color rgb="FF2563EB"/>
      <name val="Calibri"/>
      <family val="2"/>
    </font>
    <font>
      <b/>
      <sz val="9"/>
      <name val="Calibri"/>
      <family val="2"/>
    </font>
    <font>
      <sz val="11"/>
      <color rgb="FF6B7280"/>
      <name val="Calibri"/>
      <family val="2"/>
    </font>
    <font>
      <b/>
      <sz val="11"/>
      <color rgb="FF2563EB"/>
      <name val="Calibri"/>
      <family val="2"/>
    </font>
    <font>
      <b/>
      <sz val="11"/>
      <color rgb="FF111827"/>
      <name val="Calibri"/>
      <family val="2"/>
    </font>
    <font>
      <b/>
      <sz val="11"/>
      <name val="Calibri"/>
      <family val="2"/>
    </font>
    <font>
      <b/>
      <sz val="12"/>
      <color rgb="FFB91C1C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3" borderId="0" xfId="0" applyFont="1" applyFill="1"/>
    <xf numFmtId="0" fontId="6" fillId="0" borderId="0" xfId="0" applyFont="1"/>
    <xf numFmtId="0" fontId="0" fillId="4" borderId="0" xfId="0" applyFill="1"/>
    <xf numFmtId="4" fontId="0" fillId="4" borderId="0" xfId="0" applyNumberFormat="1" applyFill="1"/>
    <xf numFmtId="4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0" fontId="9" fillId="4" borderId="0" xfId="0" applyFont="1" applyFill="1" applyAlignment="1">
      <alignment horizontal="center"/>
    </xf>
    <xf numFmtId="0" fontId="10" fillId="0" borderId="0" xfId="0" applyFont="1" applyAlignment="1">
      <alignment horizontal="right"/>
    </xf>
    <xf numFmtId="4" fontId="10" fillId="0" borderId="0" xfId="0" applyNumberFormat="1" applyFont="1"/>
    <xf numFmtId="0" fontId="11" fillId="4" borderId="0" xfId="0" applyFont="1" applyFill="1" applyAlignment="1">
      <alignment horizontal="center"/>
    </xf>
    <xf numFmtId="0" fontId="0" fillId="3" borderId="0" xfId="0" applyFill="1"/>
    <xf numFmtId="9" fontId="0" fillId="4" borderId="0" xfId="0" applyNumberFormat="1" applyFill="1"/>
    <xf numFmtId="0" fontId="3" fillId="2" borderId="0" xfId="0" applyFont="1" applyFill="1"/>
    <xf numFmtId="0" fontId="7" fillId="0" borderId="0" xfId="0" applyFont="1"/>
    <xf numFmtId="4" fontId="7" fillId="0" borderId="0" xfId="0" applyNumberFormat="1" applyFont="1"/>
    <xf numFmtId="164" fontId="0" fillId="0" borderId="0" xfId="0" applyNumberFormat="1"/>
    <xf numFmtId="0" fontId="12" fillId="0" borderId="0" xfId="0" applyFont="1"/>
    <xf numFmtId="4" fontId="12" fillId="0" borderId="0" xfId="0" applyNumberFormat="1" applyFont="1"/>
    <xf numFmtId="0" fontId="13" fillId="0" borderId="0" xfId="0" applyFont="1"/>
    <xf numFmtId="4" fontId="13" fillId="0" borderId="0" xfId="0" applyNumberFormat="1" applyFont="1"/>
    <xf numFmtId="0" fontId="14" fillId="0" borderId="0" xfId="0" applyFont="1"/>
    <xf numFmtId="0" fontId="15" fillId="0" borderId="0" xfId="0" applyFont="1"/>
    <xf numFmtId="4" fontId="15" fillId="0" borderId="0" xfId="0" applyNumberFormat="1" applyFont="1"/>
    <xf numFmtId="0" fontId="4" fillId="3" borderId="0" xfId="0" applyFont="1" applyFill="1"/>
    <xf numFmtId="0" fontId="5" fillId="3" borderId="0" xfId="0" applyFont="1" applyFill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zoomScale="125" workbookViewId="0">
      <pane ySplit="3" topLeftCell="A4" activePane="bottomLeft" state="frozen"/>
      <selection pane="bottomLeft" activeCell="B28" sqref="B28"/>
    </sheetView>
  </sheetViews>
  <sheetFormatPr baseColWidth="10" defaultColWidth="8.83203125" defaultRowHeight="15" x14ac:dyDescent="0.2"/>
  <cols>
    <col min="1" max="1" width="30" customWidth="1"/>
    <col min="2" max="2" width="44" customWidth="1"/>
    <col min="3" max="3" width="13" customWidth="1"/>
    <col min="4" max="4" width="15" customWidth="1"/>
    <col min="5" max="5" width="16" customWidth="1"/>
    <col min="6" max="6" width="17" customWidth="1"/>
    <col min="7" max="7" width="14" customWidth="1"/>
    <col min="8" max="8" width="56" customWidth="1"/>
  </cols>
  <sheetData>
    <row r="1" spans="1:8" ht="20" x14ac:dyDescent="0.25">
      <c r="A1" s="28" t="s">
        <v>0</v>
      </c>
      <c r="B1" s="28"/>
      <c r="C1" s="28"/>
      <c r="D1" s="28"/>
      <c r="E1" s="28"/>
      <c r="F1" s="28"/>
      <c r="G1" s="28"/>
      <c r="H1" s="28"/>
    </row>
    <row r="2" spans="1:8" ht="30" customHeight="1" x14ac:dyDescent="0.2">
      <c r="A2" s="29" t="s">
        <v>1</v>
      </c>
      <c r="B2" s="29"/>
      <c r="C2" s="29"/>
      <c r="D2" s="29"/>
      <c r="E2" s="29"/>
      <c r="F2" s="29"/>
      <c r="G2" s="29"/>
      <c r="H2" s="29"/>
    </row>
    <row r="3" spans="1:8" ht="16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6" customHeight="1" x14ac:dyDescent="0.2">
      <c r="A4" s="26" t="s">
        <v>10</v>
      </c>
      <c r="B4" s="26"/>
      <c r="C4" s="27" t="s">
        <v>11</v>
      </c>
      <c r="D4" s="27"/>
      <c r="E4" s="27"/>
      <c r="F4" s="27"/>
      <c r="G4" s="27"/>
      <c r="H4" s="27"/>
    </row>
    <row r="5" spans="1:8" x14ac:dyDescent="0.2">
      <c r="A5" t="s">
        <v>12</v>
      </c>
      <c r="B5" s="3" t="s">
        <v>13</v>
      </c>
      <c r="C5" s="4">
        <v>1</v>
      </c>
      <c r="D5" s="5">
        <v>20</v>
      </c>
      <c r="E5" s="6">
        <f>IF(OR(C5="",D5=""),"",C5*D5)</f>
        <v>20</v>
      </c>
      <c r="F5" s="6">
        <f t="shared" ref="F5:F15" si="0">IF(E5="","",E5*12)</f>
        <v>240</v>
      </c>
      <c r="G5" s="7" t="s">
        <v>14</v>
      </c>
      <c r="H5" s="8" t="s">
        <v>15</v>
      </c>
    </row>
    <row r="6" spans="1:8" x14ac:dyDescent="0.2">
      <c r="A6" t="s">
        <v>16</v>
      </c>
      <c r="B6" s="3" t="s">
        <v>17</v>
      </c>
      <c r="C6" s="4">
        <v>1</v>
      </c>
      <c r="D6" s="5">
        <v>25</v>
      </c>
      <c r="E6" s="6">
        <f>IF(OR(C6="",D6=""),"",C6*D6)</f>
        <v>25</v>
      </c>
      <c r="F6" s="6">
        <f t="shared" si="0"/>
        <v>300</v>
      </c>
      <c r="G6" s="7" t="s">
        <v>14</v>
      </c>
      <c r="H6" s="8" t="s">
        <v>18</v>
      </c>
    </row>
    <row r="7" spans="1:8" x14ac:dyDescent="0.2">
      <c r="A7" t="s">
        <v>19</v>
      </c>
      <c r="B7" s="3" t="s">
        <v>20</v>
      </c>
      <c r="C7" s="4">
        <v>1</v>
      </c>
      <c r="D7" s="5">
        <v>0</v>
      </c>
      <c r="E7" s="6">
        <f>IF(OR(C7="",D7=""),"",C7*D7)</f>
        <v>0</v>
      </c>
      <c r="F7" s="6">
        <f t="shared" si="0"/>
        <v>0</v>
      </c>
      <c r="G7" s="7" t="s">
        <v>14</v>
      </c>
      <c r="H7" s="8" t="s">
        <v>21</v>
      </c>
    </row>
    <row r="8" spans="1:8" x14ac:dyDescent="0.2">
      <c r="A8" t="s">
        <v>22</v>
      </c>
      <c r="B8" s="3" t="s">
        <v>23</v>
      </c>
      <c r="C8" s="4">
        <v>1</v>
      </c>
      <c r="D8" s="5">
        <v>5</v>
      </c>
      <c r="E8" s="6">
        <f t="shared" ref="E8:E14" si="1">IF(OR(C8="",D8=""),"",C8*D8)</f>
        <v>5</v>
      </c>
      <c r="F8" s="6">
        <f t="shared" si="0"/>
        <v>60</v>
      </c>
      <c r="G8" s="7" t="s">
        <v>14</v>
      </c>
      <c r="H8" s="8" t="s">
        <v>24</v>
      </c>
    </row>
    <row r="9" spans="1:8" x14ac:dyDescent="0.2">
      <c r="A9" t="s">
        <v>25</v>
      </c>
      <c r="B9" s="3" t="s">
        <v>26</v>
      </c>
      <c r="C9" s="4">
        <v>1</v>
      </c>
      <c r="D9" s="5">
        <v>0</v>
      </c>
      <c r="E9" s="6">
        <f t="shared" si="1"/>
        <v>0</v>
      </c>
      <c r="F9" s="6">
        <f t="shared" si="0"/>
        <v>0</v>
      </c>
      <c r="G9" s="7" t="s">
        <v>14</v>
      </c>
      <c r="H9" s="8" t="s">
        <v>27</v>
      </c>
    </row>
    <row r="10" spans="1:8" x14ac:dyDescent="0.2">
      <c r="A10" t="s">
        <v>28</v>
      </c>
      <c r="B10" s="3" t="s">
        <v>29</v>
      </c>
      <c r="C10" s="4">
        <v>1</v>
      </c>
      <c r="D10" s="5">
        <v>0</v>
      </c>
      <c r="E10" s="6">
        <f t="shared" si="1"/>
        <v>0</v>
      </c>
      <c r="F10" s="6">
        <f t="shared" si="0"/>
        <v>0</v>
      </c>
      <c r="G10" s="7" t="s">
        <v>14</v>
      </c>
      <c r="H10" s="8" t="s">
        <v>30</v>
      </c>
    </row>
    <row r="11" spans="1:8" x14ac:dyDescent="0.2">
      <c r="A11" t="s">
        <v>31</v>
      </c>
      <c r="B11" s="3" t="s">
        <v>32</v>
      </c>
      <c r="C11" s="4">
        <v>2000</v>
      </c>
      <c r="D11" s="5">
        <v>3.5000000000000003E-2</v>
      </c>
      <c r="E11" s="6">
        <f t="shared" si="1"/>
        <v>70</v>
      </c>
      <c r="F11" s="6">
        <f t="shared" si="0"/>
        <v>840</v>
      </c>
      <c r="G11" s="7" t="s">
        <v>14</v>
      </c>
      <c r="H11" s="8" t="s">
        <v>33</v>
      </c>
    </row>
    <row r="12" spans="1:8" x14ac:dyDescent="0.2">
      <c r="A12" t="s">
        <v>34</v>
      </c>
      <c r="B12" s="3" t="s">
        <v>35</v>
      </c>
      <c r="C12" s="4">
        <v>10</v>
      </c>
      <c r="D12" s="5">
        <v>2.5</v>
      </c>
      <c r="E12" s="6">
        <f t="shared" si="1"/>
        <v>25</v>
      </c>
      <c r="F12" s="6">
        <f t="shared" si="0"/>
        <v>300</v>
      </c>
      <c r="G12" s="7" t="s">
        <v>14</v>
      </c>
      <c r="H12" s="8" t="s">
        <v>36</v>
      </c>
    </row>
    <row r="13" spans="1:8" x14ac:dyDescent="0.2">
      <c r="A13" t="s">
        <v>37</v>
      </c>
      <c r="B13" s="3" t="s">
        <v>38</v>
      </c>
      <c r="C13" s="4">
        <v>1</v>
      </c>
      <c r="D13" s="5">
        <v>49</v>
      </c>
      <c r="E13" s="6">
        <f t="shared" si="1"/>
        <v>49</v>
      </c>
      <c r="F13" s="6">
        <f t="shared" si="0"/>
        <v>588</v>
      </c>
      <c r="G13" s="7" t="s">
        <v>14</v>
      </c>
      <c r="H13" s="8" t="s">
        <v>40</v>
      </c>
    </row>
    <row r="14" spans="1:8" x14ac:dyDescent="0.2">
      <c r="A14" t="s">
        <v>41</v>
      </c>
      <c r="B14" s="3" t="s">
        <v>42</v>
      </c>
      <c r="C14" s="4">
        <v>1</v>
      </c>
      <c r="D14" s="5">
        <v>20</v>
      </c>
      <c r="E14" s="6">
        <f t="shared" si="1"/>
        <v>20</v>
      </c>
      <c r="F14" s="6">
        <f t="shared" si="0"/>
        <v>240</v>
      </c>
      <c r="G14" s="7" t="s">
        <v>14</v>
      </c>
      <c r="H14" s="8" t="s">
        <v>43</v>
      </c>
    </row>
    <row r="15" spans="1:8" x14ac:dyDescent="0.2">
      <c r="A15" t="s">
        <v>44</v>
      </c>
      <c r="B15" s="3" t="s">
        <v>45</v>
      </c>
      <c r="C15" s="4">
        <v>1</v>
      </c>
      <c r="D15" s="5">
        <v>0</v>
      </c>
      <c r="E15" s="6">
        <f>IF(OR(C15="",D15=""),"",C15*D15)</f>
        <v>0</v>
      </c>
      <c r="F15" s="6">
        <f t="shared" si="0"/>
        <v>0</v>
      </c>
      <c r="G15" s="7" t="s">
        <v>14</v>
      </c>
      <c r="H15" s="8" t="s">
        <v>46</v>
      </c>
    </row>
    <row r="16" spans="1:8" x14ac:dyDescent="0.2">
      <c r="B16" s="10" t="s">
        <v>47</v>
      </c>
      <c r="E16" s="11">
        <f>SUM(E5:E15)</f>
        <v>214</v>
      </c>
      <c r="F16" s="11">
        <f>SUM(F5:F15)</f>
        <v>2568</v>
      </c>
      <c r="G16" s="7"/>
    </row>
    <row r="18" spans="1:8" ht="26" customHeight="1" x14ac:dyDescent="0.2">
      <c r="A18" s="26" t="s">
        <v>48</v>
      </c>
      <c r="B18" s="26"/>
      <c r="C18" s="27" t="s">
        <v>49</v>
      </c>
      <c r="D18" s="27"/>
      <c r="E18" s="27"/>
      <c r="F18" s="27"/>
      <c r="G18" s="27"/>
      <c r="H18" s="27"/>
    </row>
    <row r="19" spans="1:8" x14ac:dyDescent="0.2">
      <c r="A19" t="s">
        <v>50</v>
      </c>
      <c r="B19" s="3" t="s">
        <v>51</v>
      </c>
      <c r="C19" s="4">
        <v>1</v>
      </c>
      <c r="D19" s="5">
        <v>30</v>
      </c>
      <c r="E19" s="6">
        <f t="shared" ref="E19:E24" si="2">IF(OR(C19="",D19=""),"",C19*D19)</f>
        <v>30</v>
      </c>
      <c r="F19" s="6">
        <f t="shared" ref="F19:F24" si="3">IF(E19="","",E19*12)</f>
        <v>360</v>
      </c>
      <c r="G19" s="7" t="s">
        <v>14</v>
      </c>
      <c r="H19" s="8" t="s">
        <v>52</v>
      </c>
    </row>
    <row r="20" spans="1:8" x14ac:dyDescent="0.2">
      <c r="A20" t="s">
        <v>53</v>
      </c>
      <c r="B20" s="3" t="s">
        <v>54</v>
      </c>
      <c r="C20" s="4">
        <v>1</v>
      </c>
      <c r="D20" s="5">
        <v>20</v>
      </c>
      <c r="E20" s="6">
        <f t="shared" si="2"/>
        <v>20</v>
      </c>
      <c r="F20" s="6">
        <f t="shared" si="3"/>
        <v>240</v>
      </c>
      <c r="G20" s="7" t="s">
        <v>14</v>
      </c>
      <c r="H20" s="8" t="s">
        <v>56</v>
      </c>
    </row>
    <row r="21" spans="1:8" x14ac:dyDescent="0.2">
      <c r="A21" t="s">
        <v>57</v>
      </c>
      <c r="B21" s="3" t="s">
        <v>58</v>
      </c>
      <c r="C21" s="4">
        <v>1</v>
      </c>
      <c r="D21" s="5">
        <v>5</v>
      </c>
      <c r="E21" s="6">
        <f t="shared" si="2"/>
        <v>5</v>
      </c>
      <c r="F21" s="6">
        <f t="shared" si="3"/>
        <v>60</v>
      </c>
      <c r="G21" s="7" t="s">
        <v>14</v>
      </c>
      <c r="H21" s="8" t="s">
        <v>59</v>
      </c>
    </row>
    <row r="22" spans="1:8" x14ac:dyDescent="0.2">
      <c r="A22" t="s">
        <v>60</v>
      </c>
      <c r="B22" s="3" t="s">
        <v>58</v>
      </c>
      <c r="C22" s="4">
        <v>1</v>
      </c>
      <c r="D22" s="5">
        <v>5</v>
      </c>
      <c r="E22" s="6">
        <f t="shared" si="2"/>
        <v>5</v>
      </c>
      <c r="F22" s="6">
        <f t="shared" si="3"/>
        <v>60</v>
      </c>
      <c r="G22" s="7" t="s">
        <v>14</v>
      </c>
      <c r="H22" s="8" t="s">
        <v>61</v>
      </c>
    </row>
    <row r="23" spans="1:8" x14ac:dyDescent="0.2">
      <c r="A23" t="s">
        <v>62</v>
      </c>
      <c r="B23" s="3" t="s">
        <v>63</v>
      </c>
      <c r="C23" s="4">
        <v>0.5</v>
      </c>
      <c r="D23" s="5">
        <v>20</v>
      </c>
      <c r="E23" s="6">
        <f t="shared" si="2"/>
        <v>10</v>
      </c>
      <c r="F23" s="6">
        <f t="shared" si="3"/>
        <v>120</v>
      </c>
      <c r="G23" s="7" t="s">
        <v>14</v>
      </c>
      <c r="H23" s="8" t="s">
        <v>64</v>
      </c>
    </row>
    <row r="24" spans="1:8" x14ac:dyDescent="0.2">
      <c r="A24" t="s">
        <v>65</v>
      </c>
      <c r="B24" s="3" t="s">
        <v>66</v>
      </c>
      <c r="C24" s="4">
        <v>1</v>
      </c>
      <c r="D24" s="5">
        <v>0</v>
      </c>
      <c r="E24" s="6">
        <f t="shared" si="2"/>
        <v>0</v>
      </c>
      <c r="F24" s="6">
        <f t="shared" si="3"/>
        <v>0</v>
      </c>
      <c r="G24" s="12" t="s">
        <v>55</v>
      </c>
      <c r="H24" s="8" t="s">
        <v>67</v>
      </c>
    </row>
    <row r="25" spans="1:8" x14ac:dyDescent="0.2">
      <c r="B25" s="10" t="s">
        <v>47</v>
      </c>
      <c r="E25" s="11">
        <f>SUM(E19:E24)</f>
        <v>70</v>
      </c>
      <c r="F25" s="11">
        <f>SUM(F19:F24)</f>
        <v>840</v>
      </c>
    </row>
    <row r="27" spans="1:8" ht="26" customHeight="1" x14ac:dyDescent="0.2">
      <c r="A27" s="26" t="s">
        <v>68</v>
      </c>
      <c r="B27" s="26"/>
      <c r="C27" s="27" t="s">
        <v>69</v>
      </c>
      <c r="D27" s="27"/>
      <c r="E27" s="27"/>
      <c r="F27" s="27"/>
      <c r="G27" s="27"/>
      <c r="H27" s="27"/>
    </row>
    <row r="28" spans="1:8" x14ac:dyDescent="0.2">
      <c r="A28" t="s">
        <v>70</v>
      </c>
      <c r="B28" s="3" t="s">
        <v>71</v>
      </c>
      <c r="C28" s="4">
        <v>1</v>
      </c>
      <c r="D28" s="5">
        <v>10</v>
      </c>
      <c r="E28" s="6">
        <f>IF(OR(C28="",D28=""),"",C28*D28)</f>
        <v>10</v>
      </c>
      <c r="F28" s="6">
        <f>IF(E28="","",E28*12)</f>
        <v>120</v>
      </c>
      <c r="G28" s="9" t="s">
        <v>39</v>
      </c>
      <c r="H28" s="8" t="s">
        <v>72</v>
      </c>
    </row>
    <row r="29" spans="1:8" x14ac:dyDescent="0.2">
      <c r="A29" t="s">
        <v>73</v>
      </c>
      <c r="B29" s="3" t="s">
        <v>74</v>
      </c>
      <c r="C29" s="4">
        <v>1</v>
      </c>
      <c r="D29" s="5">
        <v>250</v>
      </c>
      <c r="E29" s="6">
        <f>IF(OR(C29="",D29=""),"",C29*D29)</f>
        <v>250</v>
      </c>
      <c r="F29" s="6">
        <f>IF(E29="","",E29*12)</f>
        <v>3000</v>
      </c>
      <c r="G29" s="7" t="s">
        <v>14</v>
      </c>
      <c r="H29" s="8" t="s">
        <v>75</v>
      </c>
    </row>
    <row r="30" spans="1:8" x14ac:dyDescent="0.2">
      <c r="A30" t="s">
        <v>76</v>
      </c>
      <c r="B30" s="3" t="s">
        <v>77</v>
      </c>
      <c r="C30" s="4">
        <v>1</v>
      </c>
      <c r="D30" s="5">
        <v>0</v>
      </c>
      <c r="E30" s="6">
        <f>IF(OR(C30="",D30=""),"",C30*D30)</f>
        <v>0</v>
      </c>
      <c r="F30" s="6">
        <f>IF(E30="","",E30*12)</f>
        <v>0</v>
      </c>
      <c r="G30" s="7" t="s">
        <v>14</v>
      </c>
      <c r="H30" s="8" t="s">
        <v>78</v>
      </c>
    </row>
    <row r="31" spans="1:8" x14ac:dyDescent="0.2">
      <c r="A31" t="s">
        <v>79</v>
      </c>
      <c r="B31" s="3" t="s">
        <v>80</v>
      </c>
      <c r="C31" s="4">
        <v>1</v>
      </c>
      <c r="D31" s="5">
        <v>0</v>
      </c>
      <c r="E31" s="6">
        <f>IF(OR(C31="",D31=""),"",C31*D31)</f>
        <v>0</v>
      </c>
      <c r="F31" s="6">
        <f>IF(E31="","",E31*12)</f>
        <v>0</v>
      </c>
      <c r="G31" s="7" t="s">
        <v>14</v>
      </c>
      <c r="H31" s="8" t="s">
        <v>81</v>
      </c>
    </row>
    <row r="32" spans="1:8" x14ac:dyDescent="0.2">
      <c r="A32" t="s">
        <v>82</v>
      </c>
      <c r="B32" s="3" t="s">
        <v>83</v>
      </c>
      <c r="C32" s="4">
        <v>1</v>
      </c>
      <c r="D32" s="5">
        <v>3.75</v>
      </c>
      <c r="E32" s="6">
        <f>IF(OR(C32="",D32=""),"",C32*D32)</f>
        <v>3.75</v>
      </c>
      <c r="F32" s="6">
        <f>IF(E32="","",E32*12)</f>
        <v>45</v>
      </c>
      <c r="G32" s="7" t="s">
        <v>14</v>
      </c>
      <c r="H32" s="8" t="s">
        <v>84</v>
      </c>
    </row>
    <row r="33" spans="1:8" x14ac:dyDescent="0.2">
      <c r="B33" s="10" t="s">
        <v>47</v>
      </c>
      <c r="E33" s="11">
        <f>SUM(E28:E32)</f>
        <v>263.75</v>
      </c>
      <c r="F33" s="11">
        <f>SUM(F28:F32)</f>
        <v>3165</v>
      </c>
    </row>
    <row r="35" spans="1:8" ht="26" customHeight="1" x14ac:dyDescent="0.2">
      <c r="A35" s="26" t="s">
        <v>135</v>
      </c>
      <c r="B35" s="26"/>
      <c r="C35" s="27" t="s">
        <v>85</v>
      </c>
      <c r="D35" s="27"/>
      <c r="E35" s="27"/>
      <c r="F35" s="27"/>
      <c r="G35" s="27"/>
      <c r="H35" s="27"/>
    </row>
    <row r="36" spans="1:8" x14ac:dyDescent="0.2">
      <c r="A36" t="s">
        <v>86</v>
      </c>
      <c r="B36" s="3" t="s">
        <v>87</v>
      </c>
      <c r="C36" s="4">
        <v>12</v>
      </c>
      <c r="D36" s="5">
        <v>2.74</v>
      </c>
      <c r="E36" s="6">
        <f t="shared" ref="E36:E43" si="4">IF(OR(C36="",D36=""),"",C36*D36)</f>
        <v>32.880000000000003</v>
      </c>
      <c r="F36" s="6">
        <f t="shared" ref="F36:F43" si="5">IF(E36="","",E36*12)</f>
        <v>394.56000000000006</v>
      </c>
      <c r="G36" s="7" t="s">
        <v>14</v>
      </c>
      <c r="H36" s="8" t="s">
        <v>88</v>
      </c>
    </row>
    <row r="37" spans="1:8" x14ac:dyDescent="0.2">
      <c r="A37" t="s">
        <v>89</v>
      </c>
      <c r="B37" s="3" t="s">
        <v>90</v>
      </c>
      <c r="C37" s="4">
        <v>1</v>
      </c>
      <c r="D37" s="5">
        <v>0</v>
      </c>
      <c r="E37" s="6">
        <f t="shared" si="4"/>
        <v>0</v>
      </c>
      <c r="F37" s="6">
        <f t="shared" si="5"/>
        <v>0</v>
      </c>
      <c r="G37" s="9" t="s">
        <v>39</v>
      </c>
      <c r="H37" s="8" t="s">
        <v>91</v>
      </c>
    </row>
    <row r="38" spans="1:8" x14ac:dyDescent="0.2">
      <c r="A38" t="s">
        <v>92</v>
      </c>
      <c r="B38" s="3" t="s">
        <v>93</v>
      </c>
      <c r="C38" s="4">
        <v>1</v>
      </c>
      <c r="D38" s="5">
        <v>26</v>
      </c>
      <c r="E38" s="6">
        <f t="shared" si="4"/>
        <v>26</v>
      </c>
      <c r="F38" s="6">
        <f t="shared" si="5"/>
        <v>312</v>
      </c>
      <c r="G38" s="9" t="s">
        <v>94</v>
      </c>
      <c r="H38" s="8" t="s">
        <v>95</v>
      </c>
    </row>
    <row r="39" spans="1:8" x14ac:dyDescent="0.2">
      <c r="A39" t="s">
        <v>96</v>
      </c>
      <c r="B39" s="3" t="s">
        <v>97</v>
      </c>
      <c r="C39" s="4">
        <v>1</v>
      </c>
      <c r="D39" s="5">
        <v>0</v>
      </c>
      <c r="E39" s="6">
        <f t="shared" si="4"/>
        <v>0</v>
      </c>
      <c r="F39" s="6">
        <f t="shared" si="5"/>
        <v>0</v>
      </c>
      <c r="G39" s="7" t="s">
        <v>14</v>
      </c>
      <c r="H39" s="8" t="s">
        <v>98</v>
      </c>
    </row>
    <row r="40" spans="1:8" x14ac:dyDescent="0.2">
      <c r="A40" t="s">
        <v>99</v>
      </c>
      <c r="B40" s="3" t="s">
        <v>100</v>
      </c>
      <c r="C40" s="4">
        <v>1</v>
      </c>
      <c r="D40" s="5">
        <v>0</v>
      </c>
      <c r="E40" s="6">
        <f t="shared" si="4"/>
        <v>0</v>
      </c>
      <c r="F40" s="6">
        <f t="shared" si="5"/>
        <v>0</v>
      </c>
      <c r="G40" s="9" t="s">
        <v>94</v>
      </c>
      <c r="H40" s="8" t="s">
        <v>101</v>
      </c>
    </row>
    <row r="41" spans="1:8" x14ac:dyDescent="0.2">
      <c r="A41" t="s">
        <v>102</v>
      </c>
      <c r="B41" s="3" t="s">
        <v>103</v>
      </c>
      <c r="C41" s="4">
        <v>1</v>
      </c>
      <c r="D41" s="5">
        <v>0</v>
      </c>
      <c r="E41" s="6">
        <f t="shared" si="4"/>
        <v>0</v>
      </c>
      <c r="F41" s="6">
        <f t="shared" si="5"/>
        <v>0</v>
      </c>
      <c r="G41" s="9" t="s">
        <v>94</v>
      </c>
      <c r="H41" s="8" t="s">
        <v>104</v>
      </c>
    </row>
    <row r="42" spans="1:8" x14ac:dyDescent="0.2">
      <c r="A42" t="s">
        <v>105</v>
      </c>
      <c r="B42" s="3" t="s">
        <v>106</v>
      </c>
      <c r="C42" s="4">
        <v>0</v>
      </c>
      <c r="D42" s="5">
        <v>60</v>
      </c>
      <c r="E42" s="6">
        <f t="shared" si="4"/>
        <v>0</v>
      </c>
      <c r="F42" s="6">
        <f t="shared" si="5"/>
        <v>0</v>
      </c>
      <c r="G42" s="9" t="s">
        <v>94</v>
      </c>
      <c r="H42" s="8" t="s">
        <v>107</v>
      </c>
    </row>
    <row r="43" spans="1:8" x14ac:dyDescent="0.2">
      <c r="A43" t="s">
        <v>108</v>
      </c>
      <c r="B43" s="3" t="s">
        <v>109</v>
      </c>
      <c r="C43" s="4">
        <v>1</v>
      </c>
      <c r="D43" s="5">
        <v>10</v>
      </c>
      <c r="E43" s="6">
        <f t="shared" si="4"/>
        <v>10</v>
      </c>
      <c r="F43" s="6">
        <f t="shared" si="5"/>
        <v>120</v>
      </c>
      <c r="G43" s="9" t="s">
        <v>94</v>
      </c>
      <c r="H43" s="8" t="s">
        <v>110</v>
      </c>
    </row>
    <row r="44" spans="1:8" x14ac:dyDescent="0.2">
      <c r="B44" s="10" t="s">
        <v>47</v>
      </c>
      <c r="E44" s="11">
        <f>SUM(E36:E43)</f>
        <v>68.88</v>
      </c>
      <c r="F44" s="11">
        <f>SUM(F36:F43)</f>
        <v>826.56000000000006</v>
      </c>
    </row>
    <row r="46" spans="1:8" ht="16" x14ac:dyDescent="0.2">
      <c r="A46" s="2" t="s">
        <v>111</v>
      </c>
      <c r="B46" s="13"/>
      <c r="C46" s="13"/>
      <c r="D46" s="13"/>
      <c r="E46" s="13"/>
      <c r="F46" s="13"/>
      <c r="G46" s="13"/>
      <c r="H46" s="13"/>
    </row>
    <row r="47" spans="1:8" x14ac:dyDescent="0.2">
      <c r="A47" t="s">
        <v>112</v>
      </c>
      <c r="C47" s="5">
        <v>10000</v>
      </c>
    </row>
    <row r="48" spans="1:8" x14ac:dyDescent="0.2">
      <c r="A48" t="s">
        <v>113</v>
      </c>
      <c r="C48" s="14">
        <v>0.15</v>
      </c>
    </row>
    <row r="49" spans="1:8" x14ac:dyDescent="0.2">
      <c r="A49" t="s">
        <v>114</v>
      </c>
      <c r="C49" s="5">
        <v>0</v>
      </c>
    </row>
    <row r="51" spans="1:8" ht="16" x14ac:dyDescent="0.2">
      <c r="A51" s="2" t="s">
        <v>115</v>
      </c>
      <c r="B51" s="13"/>
      <c r="C51" s="13"/>
      <c r="D51" s="13"/>
      <c r="E51" s="13"/>
      <c r="F51" s="13"/>
      <c r="G51" s="13"/>
      <c r="H51" s="13"/>
    </row>
    <row r="52" spans="1:8" x14ac:dyDescent="0.2">
      <c r="A52" s="15" t="s">
        <v>116</v>
      </c>
      <c r="B52" s="15" t="s">
        <v>117</v>
      </c>
      <c r="C52" s="15" t="s">
        <v>118</v>
      </c>
      <c r="D52" s="15" t="s">
        <v>118</v>
      </c>
      <c r="E52" s="15" t="s">
        <v>119</v>
      </c>
      <c r="F52" s="15" t="s">
        <v>120</v>
      </c>
      <c r="G52" s="15" t="s">
        <v>121</v>
      </c>
      <c r="H52" s="15" t="s">
        <v>122</v>
      </c>
    </row>
    <row r="53" spans="1:8" x14ac:dyDescent="0.2">
      <c r="A53" s="16" t="s">
        <v>123</v>
      </c>
      <c r="B53" s="8" t="s">
        <v>14</v>
      </c>
      <c r="E53" s="17">
        <f>SUMIF(G5:G43,"Yes",E5:E43)</f>
        <v>570.63</v>
      </c>
      <c r="F53" s="17">
        <f>SUMIF(G5:G43,"Yes",F5:F43)</f>
        <v>6847.56</v>
      </c>
      <c r="G53" s="18">
        <f>IF(E53&gt;0,C47/E53,"")</f>
        <v>17.524490475439428</v>
      </c>
      <c r="H53" s="8" t="s">
        <v>124</v>
      </c>
    </row>
    <row r="54" spans="1:8" x14ac:dyDescent="0.2">
      <c r="A54" s="19" t="s">
        <v>125</v>
      </c>
      <c r="B54" s="8" t="s">
        <v>126</v>
      </c>
      <c r="E54" s="20">
        <f>SUMIF(G5:G43,"Yes",E5:E43)+SUMIF(G5:G43,"Conditional",E5:E43)+SUMIF(G5:G43,"Recommended",E5:E43)</f>
        <v>616.63</v>
      </c>
      <c r="F54" s="20">
        <f>SUMIF(G5:G43,"Yes",F5:F43)+SUMIF(G5:G43,"Conditional",F5:F43)+SUMIF(G5:G43,"Recommended",F5:F43)</f>
        <v>7399.56</v>
      </c>
      <c r="G54" s="18">
        <f>IF(E54&gt;0,C47/E54,"")</f>
        <v>16.217180481001574</v>
      </c>
      <c r="H54" s="8" t="s">
        <v>127</v>
      </c>
    </row>
    <row r="55" spans="1:8" x14ac:dyDescent="0.2">
      <c r="A55" s="21" t="s">
        <v>128</v>
      </c>
      <c r="B55" s="8" t="s">
        <v>129</v>
      </c>
      <c r="E55" s="22">
        <f>SUMIF(G5:G43,"Yes",E5:E43)+SUMIF(G5:G43,"Conditional",E5:E43)+SUMIF(G5:G43,"Recommended",E5:E43)+SUMIF(G5:G43,"Optional",E5:E43)+SUMIF(G5:G43,"Experimental",E5:E43)</f>
        <v>616.63</v>
      </c>
      <c r="F55" s="22">
        <f>SUMIF(G5:G43,"Yes",F5:F43)+SUMIF(G5:G43,"Conditional",F5:F43)+SUMIF(G5:G43,"Recommended",F5:F43)+SUMIF(G5:G43,"Optional",F5:F43)+SUMIF(G5:G43,"Experimental",F5:F43)</f>
        <v>7399.56</v>
      </c>
      <c r="G55" s="18">
        <f>IF(E55&gt;0,C47/E55,"")</f>
        <v>16.217180481001574</v>
      </c>
      <c r="H55" s="8" t="s">
        <v>130</v>
      </c>
    </row>
    <row r="56" spans="1:8" x14ac:dyDescent="0.2">
      <c r="A56" s="23" t="s">
        <v>131</v>
      </c>
      <c r="B56" s="8" t="s">
        <v>132</v>
      </c>
      <c r="F56" s="6">
        <f>C48*F54</f>
        <v>1109.934</v>
      </c>
    </row>
    <row r="57" spans="1:8" ht="16" x14ac:dyDescent="0.2">
      <c r="A57" s="24" t="s">
        <v>133</v>
      </c>
      <c r="B57" s="8" t="s">
        <v>134</v>
      </c>
      <c r="F57" s="25">
        <f>F54+F56+C49</f>
        <v>8509.4940000000006</v>
      </c>
    </row>
  </sheetData>
  <mergeCells count="10">
    <mergeCell ref="A27:B27"/>
    <mergeCell ref="C27:H27"/>
    <mergeCell ref="A35:B35"/>
    <mergeCell ref="C35:H35"/>
    <mergeCell ref="A1:H1"/>
    <mergeCell ref="A2:H2"/>
    <mergeCell ref="A4:B4"/>
    <mergeCell ref="C4:H4"/>
    <mergeCell ref="A18:B18"/>
    <mergeCell ref="C18:H18"/>
  </mergeCells>
  <dataValidations count="1">
    <dataValidation type="list" allowBlank="1" sqref="G5:G15 G36:G43 G28:G32 G19:G24" xr:uid="{00000000-0002-0000-0000-000000000000}">
      <formula1>"Yes,Conditional,Recommended,Optional,Experimental,No"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 Costs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2026-08-07T06:40:26Z</dcterms:created>
  <dcterms:modified xsi:type="dcterms:W3CDTF">2026-08-07T14:05:49Z</dcterms:modified>
  <cp:category/>
</cp:coreProperties>
</file>